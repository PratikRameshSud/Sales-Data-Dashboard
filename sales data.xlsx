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xampp\htdocs\Sutti project\Data Analytics\"/>
    </mc:Choice>
  </mc:AlternateContent>
  <xr:revisionPtr revIDLastSave="0" documentId="13_ncr:1_{A95D196A-AE74-4A89-ABEF-F5FC8F25DDC5}" xr6:coauthVersionLast="47" xr6:coauthVersionMax="47" xr10:uidLastSave="{00000000-0000-0000-0000-000000000000}"/>
  <bookViews>
    <workbookView xWindow="-108" yWindow="-108" windowWidth="23256" windowHeight="12456" activeTab="1" xr2:uid="{00000000-000D-0000-FFFF-FFFF00000000}"/>
  </bookViews>
  <sheets>
    <sheet name="Report" sheetId="2" r:id="rId1"/>
    <sheet name="Dashboard" sheetId="3" r:id="rId2"/>
    <sheet name="salesdata" sheetId="1" r:id="rId3"/>
  </sheets>
  <definedNames>
    <definedName name="Slicer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 i="2" l="1"/>
  <c r="E20" i="2"/>
  <c r="E18" i="2"/>
</calcChain>
</file>

<file path=xl/sharedStrings.xml><?xml version="1.0" encoding="utf-8"?>
<sst xmlns="http://schemas.openxmlformats.org/spreadsheetml/2006/main" count="55" uniqueCount="32">
  <si>
    <t>Date</t>
  </si>
  <si>
    <t>Region</t>
  </si>
  <si>
    <t>Product</t>
  </si>
  <si>
    <t>Salesperson</t>
  </si>
  <si>
    <t>Quantity</t>
  </si>
  <si>
    <t>Unit Price</t>
  </si>
  <si>
    <t>East</t>
  </si>
  <si>
    <t>Tablet Air</t>
  </si>
  <si>
    <t>Grace</t>
  </si>
  <si>
    <t>South</t>
  </si>
  <si>
    <t>USB-C Hub</t>
  </si>
  <si>
    <t>Bob</t>
  </si>
  <si>
    <t>Noise-Canceling Headphones</t>
  </si>
  <si>
    <t>Central</t>
  </si>
  <si>
    <t>Smart Watch</t>
  </si>
  <si>
    <t>Heidi</t>
  </si>
  <si>
    <t>Laser Printer</t>
  </si>
  <si>
    <t>Eve</t>
  </si>
  <si>
    <t>North</t>
  </si>
  <si>
    <t>David</t>
  </si>
  <si>
    <t>West</t>
  </si>
  <si>
    <t>Wireless Mouse</t>
  </si>
  <si>
    <t>Alice</t>
  </si>
  <si>
    <t>Frank</t>
  </si>
  <si>
    <t>Row Labels</t>
  </si>
  <si>
    <t>Grand Total</t>
  </si>
  <si>
    <t>Total Price</t>
  </si>
  <si>
    <t>Sum of Sales Price</t>
  </si>
  <si>
    <t>Total Revenue</t>
  </si>
  <si>
    <t>Total Unit Sold</t>
  </si>
  <si>
    <t>Total Order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</si>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</sst>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wrapText="1" indent="1" readingOrder="1"/>
    </xf>
    <xf numFmtId="14" fontId="1" fillId="0" borderId="2" xfId="0" applyNumberFormat="1" applyFont="1" applyBorder="1" applyAlignment="1">
      <alignment horizontal="left" vertical="center" wrapText="1" indent="1" readingOrder="1"/>
    </xf>
    <xf numFmtId="3" fontId="1" fillId="0" borderId="3" xfId="0" applyNumberFormat="1"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2" fillId="0" borderId="5" xfId="0" applyFont="1" applyBorder="1" applyAlignment="1">
      <alignment horizontal="left" vertical="center" wrapText="1" indent="1" readingOrder="1"/>
    </xf>
    <xf numFmtId="0" fontId="2" fillId="0" borderId="6" xfId="0" applyFont="1" applyBorder="1" applyAlignment="1">
      <alignment horizontal="left" vertical="center" wrapText="1" indent="1" readingOrder="1"/>
    </xf>
    <xf numFmtId="14" fontId="1" fillId="0" borderId="7" xfId="0" applyNumberFormat="1" applyFont="1" applyBorder="1" applyAlignment="1">
      <alignment horizontal="left" vertical="center" wrapText="1" indent="1" readingOrder="1"/>
    </xf>
    <xf numFmtId="0" fontId="1" fillId="0" borderId="8" xfId="0" applyFont="1" applyBorder="1" applyAlignment="1">
      <alignment horizontal="left" vertical="center" wrapText="1" indent="1" readingOrder="1"/>
    </xf>
    <xf numFmtId="0" fontId="1" fillId="0" borderId="9" xfId="0" applyFont="1" applyBorder="1" applyAlignment="1">
      <alignment horizontal="left" vertical="center" wrapText="1" indent="1" readingOrder="1"/>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12">
    <dxf>
      <font>
        <b val="0"/>
        <i val="0"/>
        <strike val="0"/>
        <condense val="0"/>
        <extend val="0"/>
        <outline val="0"/>
        <shadow val="0"/>
        <u val="none"/>
        <vertAlign val="baseline"/>
        <sz val="11"/>
        <color rgb="FF1F1F1F"/>
        <name val="Arial"/>
        <family val="2"/>
        <scheme val="none"/>
      </font>
      <numFmt numFmtId="3" formatCode="#,##0"/>
      <alignment horizontal="left" vertical="center"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19" formatCode="dd/mm/yyyy"/>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a:t>
            </a:r>
            <a:r>
              <a:rPr lang="en-US" baseline="0"/>
              <a:t>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dLbl>
          <c:idx val="0"/>
          <c:layout>
            <c:manualLayout>
              <c:x val="1.9444444444444445E-2"/>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75000"/>
            </a:schemeClr>
          </a:solidFill>
          <a:ln>
            <a:solidFill>
              <a:schemeClr val="accent6">
                <a:lumMod val="75000"/>
              </a:schemeClr>
            </a:solidFill>
          </a:ln>
          <a:effectLst/>
          <a:sp3d>
            <a:contourClr>
              <a:schemeClr val="accent6">
                <a:lumMod val="75000"/>
              </a:schemeClr>
            </a:contourClr>
          </a:sp3d>
        </c:spPr>
        <c:dLbl>
          <c:idx val="0"/>
          <c:layout>
            <c:manualLayout>
              <c:x val="3.6111220472440843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0999999999999985E-2"/>
                  <c:h val="7.3240740740740745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Report!$E$1</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dLbls>
            <c:delete val="1"/>
          </c:dLbls>
          <c:cat>
            <c:strRef>
              <c:f>Report!$D$2</c:f>
              <c:strCache>
                <c:ptCount val="1"/>
                <c:pt idx="0">
                  <c:v>Grand Total</c:v>
                </c:pt>
              </c:strCache>
            </c:strRef>
          </c:cat>
          <c:val>
            <c:numRef>
              <c:f>Report!$E$2</c:f>
              <c:numCache>
                <c:formatCode>General</c:formatCode>
                <c:ptCount val="1"/>
              </c:numCache>
            </c:numRef>
          </c:val>
          <c:extLst>
            <c:ext xmlns:c16="http://schemas.microsoft.com/office/drawing/2014/chart" uri="{C3380CC4-5D6E-409C-BE32-E72D297353CC}">
              <c16:uniqueId val="{00000000-C4B1-4FF9-9882-6536AEF0FDA6}"/>
            </c:ext>
          </c:extLst>
        </c:ser>
        <c:dLbls>
          <c:showLegendKey val="0"/>
          <c:showVal val="1"/>
          <c:showCatName val="0"/>
          <c:showSerName val="0"/>
          <c:showPercent val="0"/>
          <c:showBubbleSize val="0"/>
        </c:dLbls>
        <c:gapWidth val="150"/>
        <c:shape val="box"/>
        <c:axId val="1732118831"/>
        <c:axId val="1732120751"/>
        <c:axId val="0"/>
      </c:bar3DChart>
      <c:catAx>
        <c:axId val="173211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32120751"/>
        <c:crosses val="autoZero"/>
        <c:auto val="1"/>
        <c:lblAlgn val="ctr"/>
        <c:lblOffset val="100"/>
        <c:noMultiLvlLbl val="0"/>
      </c:catAx>
      <c:valAx>
        <c:axId val="1732120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211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Report!$B$19</c:f>
              <c:strCache>
                <c:ptCount val="1"/>
                <c:pt idx="0">
                  <c:v>Total</c:v>
                </c:pt>
              </c:strCache>
            </c:strRef>
          </c:tx>
          <c:spPr>
            <a:ln w="28575" cap="rnd">
              <a:solidFill>
                <a:srgbClr val="0070C0"/>
              </a:solidFill>
              <a:round/>
            </a:ln>
            <a:effectLst/>
          </c:spPr>
          <c:marker>
            <c:symbol val="none"/>
          </c:marker>
          <c:cat>
            <c:strRef>
              <c:f>Report!$A$20</c:f>
              <c:strCache>
                <c:ptCount val="1"/>
                <c:pt idx="0">
                  <c:v>Grand Total</c:v>
                </c:pt>
              </c:strCache>
            </c:strRef>
          </c:cat>
          <c:val>
            <c:numRef>
              <c:f>Report!$B$20</c:f>
              <c:numCache>
                <c:formatCode>General</c:formatCode>
                <c:ptCount val="1"/>
              </c:numCache>
            </c:numRef>
          </c:val>
          <c:extLst>
            <c:ext xmlns:c16="http://schemas.microsoft.com/office/drawing/2014/chart" uri="{C3380CC4-5D6E-409C-BE32-E72D297353CC}">
              <c16:uniqueId val="{00000000-14C7-4C74-BAEE-A20E5984B95C}"/>
            </c:ext>
          </c:extLst>
        </c:ser>
        <c:dLbls>
          <c:showLegendKey val="0"/>
          <c:showVal val="0"/>
          <c:showCatName val="0"/>
          <c:showSerName val="0"/>
          <c:showPercent val="0"/>
          <c:showBubbleSize val="0"/>
        </c:dLbls>
        <c:axId val="1717362879"/>
        <c:axId val="1717364319"/>
      </c:radarChart>
      <c:catAx>
        <c:axId val="17173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17364319"/>
        <c:crosses val="autoZero"/>
        <c:auto val="1"/>
        <c:lblAlgn val="ctr"/>
        <c:lblOffset val="100"/>
        <c:noMultiLvlLbl val="0"/>
      </c:catAx>
      <c:valAx>
        <c:axId val="1717364319"/>
        <c:scaling>
          <c:orientation val="minMax"/>
        </c:scaling>
        <c:delete val="0"/>
        <c:axPos val="l"/>
        <c:majorGridlines>
          <c:spPr>
            <a:ln w="9525" cap="flat" cmpd="sng" algn="ctr">
              <a:solidFill>
                <a:schemeClr val="accent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736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PERFORMANCE</a:t>
            </a:r>
          </a:p>
        </c:rich>
      </c:tx>
      <c:layout>
        <c:manualLayout>
          <c:xMode val="edge"/>
          <c:yMode val="edge"/>
          <c:x val="0.15493606568409718"/>
          <c:y val="6.4810191409000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2179463482555"/>
          <c:y val="0.30633187772925763"/>
          <c:w val="0.59670961024238178"/>
          <c:h val="0.56122075897718027"/>
        </c:manualLayout>
      </c:layout>
      <c:barChart>
        <c:barDir val="bar"/>
        <c:grouping val="clustered"/>
        <c:varyColors val="0"/>
        <c:ser>
          <c:idx val="0"/>
          <c:order val="0"/>
          <c:tx>
            <c:strRef>
              <c:f>Report!$B$10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Report!$A$11</c:f>
              <c:strCache>
                <c:ptCount val="1"/>
                <c:pt idx="0">
                  <c:v>Grand Total</c:v>
                </c:pt>
              </c:strCache>
            </c:strRef>
          </c:cat>
          <c:val>
            <c:numRef>
              <c:f>Report!$B$11</c:f>
              <c:numCache>
                <c:formatCode>General</c:formatCode>
                <c:ptCount val="1"/>
              </c:numCache>
            </c:numRef>
          </c:val>
          <c:extLst>
            <c:ext xmlns:c16="http://schemas.microsoft.com/office/drawing/2014/chart" uri="{C3380CC4-5D6E-409C-BE32-E72D297353CC}">
              <c16:uniqueId val="{00000000-430A-47FD-8B6E-33912D323FC4}"/>
            </c:ext>
          </c:extLst>
        </c:ser>
        <c:dLbls>
          <c:dLblPos val="outEnd"/>
          <c:showLegendKey val="0"/>
          <c:showVal val="1"/>
          <c:showCatName val="0"/>
          <c:showSerName val="0"/>
          <c:showPercent val="0"/>
          <c:showBubbleSize val="0"/>
        </c:dLbls>
        <c:gapWidth val="182"/>
        <c:axId val="1452693391"/>
        <c:axId val="1613667103"/>
      </c:barChart>
      <c:catAx>
        <c:axId val="1452693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667103"/>
        <c:crosses val="autoZero"/>
        <c:auto val="1"/>
        <c:lblAlgn val="ctr"/>
        <c:lblOffset val="100"/>
        <c:noMultiLvlLbl val="0"/>
      </c:catAx>
      <c:valAx>
        <c:axId val="161366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9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lgn="ct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331072159768218"/>
          <c:y val="0.15258967629046369"/>
          <c:w val="0.57134084201013335"/>
          <c:h val="0.76407699037620302"/>
        </c:manualLayout>
      </c:layout>
      <c:doughnutChart>
        <c:varyColors val="1"/>
        <c:ser>
          <c:idx val="0"/>
          <c:order val="0"/>
          <c:tx>
            <c:strRef>
              <c:f>Report!$B$1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61-4FB3-BD16-66F1D69DA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61-4FB3-BD16-66F1D69DA8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61-4FB3-BD16-66F1D69DA8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61-4FB3-BD16-66F1D69DA8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61-4FB3-BD16-66F1D69DA863}"/>
              </c:ext>
            </c:extLst>
          </c:dPt>
          <c:dLbls>
            <c:spPr>
              <a:noFill/>
              <a:ln>
                <a:noFill/>
              </a:ln>
              <a:effectLst/>
            </c:spPr>
            <c:txPr>
              <a:bodyPr rot="0" spcFirstLastPara="1" vertOverflow="clip" horzOverflow="clip" vert="horz" wrap="square" lIns="38100" tIns="19050" rIns="38100" bIns="19050" anchor="ctr" anchorCtr="0">
                <a:spAutoFit/>
              </a:bodyPr>
              <a:lstStyle/>
              <a:p>
                <a:pPr algn="ct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Report!$A$2</c:f>
              <c:strCache>
                <c:ptCount val="1"/>
                <c:pt idx="0">
                  <c:v>Grand Total</c:v>
                </c:pt>
              </c:strCache>
            </c:strRef>
          </c:cat>
          <c:val>
            <c:numRef>
              <c:f>Report!$B$2</c:f>
              <c:numCache>
                <c:formatCode>0.00%</c:formatCode>
                <c:ptCount val="1"/>
                <c:pt idx="0">
                  <c:v>#N/A</c:v>
                </c:pt>
              </c:numCache>
            </c:numRef>
          </c:val>
          <c:extLst>
            <c:ext xmlns:c16="http://schemas.microsoft.com/office/drawing/2014/chart" uri="{C3380CC4-5D6E-409C-BE32-E72D297353CC}">
              <c16:uniqueId val="{0000000A-BB61-4FB3-BD16-66F1D69DA86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498366930202971"/>
          <c:y val="0.41812809857101196"/>
          <c:w val="0.23184833565865368"/>
          <c:h val="0.4326789880431612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thickThin"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lumMod val="75000"/>
            </a:schemeClr>
          </a:solidFill>
          <a:ln>
            <a:solidFill>
              <a:schemeClr val="accent6">
                <a:lumMod val="75000"/>
              </a:schemeClr>
            </a:solidFill>
          </a:ln>
          <a:effectLst/>
          <a:sp3d>
            <a:contourClr>
              <a:schemeClr val="accent6">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solidFill>
              <a:schemeClr val="accent6">
                <a:lumMod val="75000"/>
              </a:schemeClr>
            </a:solidFill>
          </a:ln>
          <a:effectLst/>
          <a:sp3d>
            <a:contourClr>
              <a:schemeClr val="accent6">
                <a:lumMod val="75000"/>
              </a:schemeClr>
            </a:contourClr>
          </a:sp3d>
        </c:spPr>
        <c:dLbl>
          <c:idx val="0"/>
          <c:layout>
            <c:manualLayout>
              <c:x val="1.944444444444444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solidFill>
              <a:schemeClr val="accent5"/>
            </a:solidFill>
          </a:ln>
          <a:effectLst/>
          <a:sp3d>
            <a:contourClr>
              <a:schemeClr val="accent5"/>
            </a:contourClr>
          </a:sp3d>
        </c:spPr>
        <c:dLbl>
          <c:idx val="0"/>
          <c:layout>
            <c:manualLayout>
              <c:x val="3.6111220472440843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999999999999985E-2"/>
                  <c:h val="7.3240740740740745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Report!$E$1</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dPt>
            <c:idx val="1"/>
            <c:invertIfNegative val="0"/>
            <c:bubble3D val="0"/>
            <c:extLst>
              <c:ext xmlns:c16="http://schemas.microsoft.com/office/drawing/2014/chart" uri="{C3380CC4-5D6E-409C-BE32-E72D297353CC}">
                <c16:uniqueId val="{00000001-9CDE-410E-923C-C5C74B8F241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2">
                          <a:lumMod val="60000"/>
                          <a:lumOff val="40000"/>
                        </a:schemeClr>
                      </a:solidFill>
                      <a:round/>
                    </a:ln>
                    <a:effectLst/>
                  </c:spPr>
                </c15:leaderLines>
              </c:ext>
            </c:extLst>
          </c:dLbls>
          <c:cat>
            <c:strRef>
              <c:f>Report!$D$2</c:f>
              <c:strCache>
                <c:ptCount val="1"/>
                <c:pt idx="0">
                  <c:v>Grand Total</c:v>
                </c:pt>
              </c:strCache>
            </c:strRef>
          </c:cat>
          <c:val>
            <c:numRef>
              <c:f>Report!$E$2</c:f>
              <c:numCache>
                <c:formatCode>General</c:formatCode>
                <c:ptCount val="1"/>
              </c:numCache>
            </c:numRef>
          </c:val>
          <c:extLst>
            <c:ext xmlns:c16="http://schemas.microsoft.com/office/drawing/2014/chart" uri="{C3380CC4-5D6E-409C-BE32-E72D297353CC}">
              <c16:uniqueId val="{00000002-9CDE-410E-923C-C5C74B8F2416}"/>
            </c:ext>
          </c:extLst>
        </c:ser>
        <c:dLbls>
          <c:showLegendKey val="0"/>
          <c:showVal val="1"/>
          <c:showCatName val="0"/>
          <c:showSerName val="0"/>
          <c:showPercent val="0"/>
          <c:showBubbleSize val="0"/>
        </c:dLbls>
        <c:gapWidth val="150"/>
        <c:shape val="box"/>
        <c:axId val="1732118831"/>
        <c:axId val="1732120751"/>
        <c:axId val="0"/>
      </c:bar3DChart>
      <c:catAx>
        <c:axId val="1732118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32120751"/>
        <c:crosses val="autoZero"/>
        <c:auto val="1"/>
        <c:lblAlgn val="ctr"/>
        <c:lblOffset val="100"/>
        <c:noMultiLvlLbl val="0"/>
      </c:catAx>
      <c:valAx>
        <c:axId val="1732120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3211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data.xlsx]Report!PivotTable4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Report!$B$19</c:f>
              <c:strCache>
                <c:ptCount val="1"/>
                <c:pt idx="0">
                  <c:v>Total</c:v>
                </c:pt>
              </c:strCache>
            </c:strRef>
          </c:tx>
          <c:spPr>
            <a:ln w="28575" cap="rnd">
              <a:solidFill>
                <a:srgbClr val="0070C0"/>
              </a:solidFill>
              <a:round/>
            </a:ln>
            <a:effectLst/>
          </c:spPr>
          <c:marker>
            <c:symbol val="none"/>
          </c:marker>
          <c:cat>
            <c:strRef>
              <c:f>Report!$A$20</c:f>
              <c:strCache>
                <c:ptCount val="1"/>
                <c:pt idx="0">
                  <c:v>Grand Total</c:v>
                </c:pt>
              </c:strCache>
            </c:strRef>
          </c:cat>
          <c:val>
            <c:numRef>
              <c:f>Report!$B$20</c:f>
              <c:numCache>
                <c:formatCode>General</c:formatCode>
                <c:ptCount val="1"/>
              </c:numCache>
            </c:numRef>
          </c:val>
          <c:extLst>
            <c:ext xmlns:c16="http://schemas.microsoft.com/office/drawing/2014/chart" uri="{C3380CC4-5D6E-409C-BE32-E72D297353CC}">
              <c16:uniqueId val="{00000000-F683-4794-BE67-1573D7C1291F}"/>
            </c:ext>
          </c:extLst>
        </c:ser>
        <c:dLbls>
          <c:showLegendKey val="0"/>
          <c:showVal val="0"/>
          <c:showCatName val="0"/>
          <c:showSerName val="0"/>
          <c:showPercent val="0"/>
          <c:showBubbleSize val="0"/>
        </c:dLbls>
        <c:axId val="1717362879"/>
        <c:axId val="1717364319"/>
      </c:radarChart>
      <c:catAx>
        <c:axId val="17173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17364319"/>
        <c:crosses val="autoZero"/>
        <c:auto val="1"/>
        <c:lblAlgn val="ctr"/>
        <c:lblOffset val="100"/>
        <c:noMultiLvlLbl val="0"/>
      </c:catAx>
      <c:valAx>
        <c:axId val="1717364319"/>
        <c:scaling>
          <c:orientation val="minMax"/>
        </c:scaling>
        <c:delete val="0"/>
        <c:axPos val="l"/>
        <c:majorGridlines>
          <c:spPr>
            <a:ln w="9525" cap="flat" cmpd="sng" algn="ctr">
              <a:solidFill>
                <a:schemeClr val="accent6"/>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736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182880</xdr:colOff>
      <xdr:row>6</xdr:row>
      <xdr:rowOff>45720</xdr:rowOff>
    </xdr:from>
    <xdr:to>
      <xdr:col>8</xdr:col>
      <xdr:colOff>182880</xdr:colOff>
      <xdr:row>21</xdr:row>
      <xdr:rowOff>45720</xdr:rowOff>
    </xdr:to>
    <xdr:graphicFrame macro="">
      <xdr:nvGraphicFramePr>
        <xdr:cNvPr id="8" name="Chart 7">
          <a:extLst>
            <a:ext uri="{FF2B5EF4-FFF2-40B4-BE49-F238E27FC236}">
              <a16:creationId xmlns:a16="http://schemas.microsoft.com/office/drawing/2014/main" id="{9CA6B5BC-B514-8E0F-2DEA-D073129DD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6</xdr:row>
      <xdr:rowOff>45720</xdr:rowOff>
    </xdr:from>
    <xdr:to>
      <xdr:col>8</xdr:col>
      <xdr:colOff>182880</xdr:colOff>
      <xdr:row>21</xdr:row>
      <xdr:rowOff>45720</xdr:rowOff>
    </xdr:to>
    <xdr:graphicFrame macro="">
      <xdr:nvGraphicFramePr>
        <xdr:cNvPr id="9" name="Chart 8">
          <a:extLst>
            <a:ext uri="{FF2B5EF4-FFF2-40B4-BE49-F238E27FC236}">
              <a16:creationId xmlns:a16="http://schemas.microsoft.com/office/drawing/2014/main" id="{2FF5E019-07CA-8214-202B-40B3195C2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76200</xdr:colOff>
      <xdr:row>0</xdr:row>
      <xdr:rowOff>142240</xdr:rowOff>
    </xdr:from>
    <xdr:to>
      <xdr:col>18</xdr:col>
      <xdr:colOff>508000</xdr:colOff>
      <xdr:row>37</xdr:row>
      <xdr:rowOff>175260</xdr:rowOff>
    </xdr:to>
    <xdr:sp macro="" textlink="">
      <xdr:nvSpPr>
        <xdr:cNvPr id="2" name="Rectangle: Rounded Corners 1">
          <a:extLst>
            <a:ext uri="{FF2B5EF4-FFF2-40B4-BE49-F238E27FC236}">
              <a16:creationId xmlns:a16="http://schemas.microsoft.com/office/drawing/2014/main" id="{1A94F568-7516-C206-AF62-C5F3DBF9F1E2}"/>
            </a:ext>
          </a:extLst>
        </xdr:cNvPr>
        <xdr:cNvSpPr/>
      </xdr:nvSpPr>
      <xdr:spPr>
        <a:xfrm>
          <a:off x="685800" y="142240"/>
          <a:ext cx="10795000" cy="6799580"/>
        </a:xfrm>
        <a:prstGeom prst="roundRect">
          <a:avLst>
            <a:gd name="adj" fmla="val 1347"/>
          </a:avLst>
        </a:prstGeom>
        <a:solidFill>
          <a:schemeClr val="bg1">
            <a:lumMod val="85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6</xdr:col>
      <xdr:colOff>591820</xdr:colOff>
      <xdr:row>1</xdr:row>
      <xdr:rowOff>142240</xdr:rowOff>
    </xdr:from>
    <xdr:to>
      <xdr:col>12</xdr:col>
      <xdr:colOff>508000</xdr:colOff>
      <xdr:row>3</xdr:row>
      <xdr:rowOff>180340</xdr:rowOff>
    </xdr:to>
    <xdr:sp macro="" textlink="">
      <xdr:nvSpPr>
        <xdr:cNvPr id="3" name="TextBox 2">
          <a:extLst>
            <a:ext uri="{FF2B5EF4-FFF2-40B4-BE49-F238E27FC236}">
              <a16:creationId xmlns:a16="http://schemas.microsoft.com/office/drawing/2014/main" id="{D313D07B-1088-4841-4ACD-7E0A22525E01}"/>
            </a:ext>
          </a:extLst>
        </xdr:cNvPr>
        <xdr:cNvSpPr txBox="1"/>
      </xdr:nvSpPr>
      <xdr:spPr>
        <a:xfrm>
          <a:off x="4249420" y="325120"/>
          <a:ext cx="35737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SALES</a:t>
          </a:r>
          <a:r>
            <a:rPr lang="en-IN" sz="2000" b="1" baseline="0"/>
            <a:t> DATA DASHBOARD</a:t>
          </a:r>
          <a:endParaRPr lang="en-IN" sz="2000" b="1"/>
        </a:p>
      </xdr:txBody>
    </xdr:sp>
    <xdr:clientData/>
  </xdr:twoCellAnchor>
  <xdr:twoCellAnchor>
    <xdr:from>
      <xdr:col>2</xdr:col>
      <xdr:colOff>25400</xdr:colOff>
      <xdr:row>4</xdr:row>
      <xdr:rowOff>76200</xdr:rowOff>
    </xdr:from>
    <xdr:to>
      <xdr:col>5</xdr:col>
      <xdr:colOff>538480</xdr:colOff>
      <xdr:row>8</xdr:row>
      <xdr:rowOff>68580</xdr:rowOff>
    </xdr:to>
    <xdr:sp macro="" textlink="">
      <xdr:nvSpPr>
        <xdr:cNvPr id="4" name="TextBox 3">
          <a:extLst>
            <a:ext uri="{FF2B5EF4-FFF2-40B4-BE49-F238E27FC236}">
              <a16:creationId xmlns:a16="http://schemas.microsoft.com/office/drawing/2014/main" id="{1979AB11-EDE0-7856-18C6-D1D867235D92}"/>
            </a:ext>
          </a:extLst>
        </xdr:cNvPr>
        <xdr:cNvSpPr txBox="1"/>
      </xdr:nvSpPr>
      <xdr:spPr>
        <a:xfrm>
          <a:off x="1244600" y="807720"/>
          <a:ext cx="2341880" cy="723900"/>
        </a:xfrm>
        <a:prstGeom prst="rect">
          <a:avLst/>
        </a:prstGeom>
        <a:solidFill>
          <a:schemeClr val="bg1"/>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baseline="0"/>
        </a:p>
        <a:p>
          <a:endParaRPr lang="en-IN" sz="1400" b="1" baseline="0"/>
        </a:p>
        <a:p>
          <a:endParaRPr lang="en-IN" sz="1400" b="1"/>
        </a:p>
      </xdr:txBody>
    </xdr:sp>
    <xdr:clientData/>
  </xdr:twoCellAnchor>
  <xdr:twoCellAnchor>
    <xdr:from>
      <xdr:col>2</xdr:col>
      <xdr:colOff>596900</xdr:colOff>
      <xdr:row>6</xdr:row>
      <xdr:rowOff>38100</xdr:rowOff>
    </xdr:from>
    <xdr:to>
      <xdr:col>4</xdr:col>
      <xdr:colOff>429260</xdr:colOff>
      <xdr:row>7</xdr:row>
      <xdr:rowOff>160020</xdr:rowOff>
    </xdr:to>
    <xdr:sp macro="" textlink="Report!E18">
      <xdr:nvSpPr>
        <xdr:cNvPr id="5" name="TextBox 4">
          <a:extLst>
            <a:ext uri="{FF2B5EF4-FFF2-40B4-BE49-F238E27FC236}">
              <a16:creationId xmlns:a16="http://schemas.microsoft.com/office/drawing/2014/main" id="{894550D2-7249-1FF3-D4C4-9866BE2226D8}"/>
            </a:ext>
          </a:extLst>
        </xdr:cNvPr>
        <xdr:cNvSpPr txBox="1"/>
      </xdr:nvSpPr>
      <xdr:spPr>
        <a:xfrm>
          <a:off x="1816100" y="1135380"/>
          <a:ext cx="1051560" cy="3048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AE4CF83-A55E-40F7-BE33-3B17F375DD84}" type="TxLink">
            <a:rPr lang="en-US" sz="1100" b="1" i="0" u="none" strike="noStrike">
              <a:solidFill>
                <a:srgbClr val="000000"/>
              </a:solidFill>
              <a:latin typeface="Calibri"/>
              <a:ea typeface="Calibri"/>
              <a:cs typeface="Calibri"/>
            </a:rPr>
            <a:pPr algn="ctr"/>
            <a:t>0</a:t>
          </a:fld>
          <a:endParaRPr lang="en-IN" sz="1100" b="1"/>
        </a:p>
      </xdr:txBody>
    </xdr:sp>
    <xdr:clientData/>
  </xdr:twoCellAnchor>
  <xdr:twoCellAnchor>
    <xdr:from>
      <xdr:col>2</xdr:col>
      <xdr:colOff>482600</xdr:colOff>
      <xdr:row>4</xdr:row>
      <xdr:rowOff>114300</xdr:rowOff>
    </xdr:from>
    <xdr:to>
      <xdr:col>4</xdr:col>
      <xdr:colOff>444500</xdr:colOff>
      <xdr:row>6</xdr:row>
      <xdr:rowOff>15240</xdr:rowOff>
    </xdr:to>
    <xdr:sp macro="" textlink="">
      <xdr:nvSpPr>
        <xdr:cNvPr id="7" name="TextBox 6">
          <a:extLst>
            <a:ext uri="{FF2B5EF4-FFF2-40B4-BE49-F238E27FC236}">
              <a16:creationId xmlns:a16="http://schemas.microsoft.com/office/drawing/2014/main" id="{833ACBA1-410D-1A2D-4F07-0634DDEB6FC2}"/>
            </a:ext>
          </a:extLst>
        </xdr:cNvPr>
        <xdr:cNvSpPr txBox="1"/>
      </xdr:nvSpPr>
      <xdr:spPr>
        <a:xfrm>
          <a:off x="1701800" y="845820"/>
          <a:ext cx="11811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REVENUE</a:t>
          </a:r>
          <a:endParaRPr lang="en-IN" sz="1100" b="1"/>
        </a:p>
      </xdr:txBody>
    </xdr:sp>
    <xdr:clientData/>
  </xdr:twoCellAnchor>
  <xdr:twoCellAnchor>
    <xdr:from>
      <xdr:col>6</xdr:col>
      <xdr:colOff>248920</xdr:colOff>
      <xdr:row>4</xdr:row>
      <xdr:rowOff>83820</xdr:rowOff>
    </xdr:from>
    <xdr:to>
      <xdr:col>9</xdr:col>
      <xdr:colOff>347980</xdr:colOff>
      <xdr:row>8</xdr:row>
      <xdr:rowOff>83820</xdr:rowOff>
    </xdr:to>
    <xdr:sp macro="" textlink="">
      <xdr:nvSpPr>
        <xdr:cNvPr id="8" name="TextBox 7">
          <a:extLst>
            <a:ext uri="{FF2B5EF4-FFF2-40B4-BE49-F238E27FC236}">
              <a16:creationId xmlns:a16="http://schemas.microsoft.com/office/drawing/2014/main" id="{4433B11A-B5E9-01B4-E97F-DEDC5496747B}"/>
            </a:ext>
          </a:extLst>
        </xdr:cNvPr>
        <xdr:cNvSpPr txBox="1"/>
      </xdr:nvSpPr>
      <xdr:spPr>
        <a:xfrm>
          <a:off x="3906520" y="815340"/>
          <a:ext cx="1927860" cy="731520"/>
        </a:xfrm>
        <a:prstGeom prst="rect">
          <a:avLst/>
        </a:prstGeom>
        <a:solidFill>
          <a:schemeClr val="lt1"/>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400" b="1" baseline="0">
            <a:solidFill>
              <a:schemeClr val="dk1"/>
            </a:solidFill>
            <a:latin typeface="+mn-lt"/>
            <a:ea typeface="+mn-ea"/>
            <a:cs typeface="+mn-cs"/>
          </a:endParaRPr>
        </a:p>
      </xdr:txBody>
    </xdr:sp>
    <xdr:clientData/>
  </xdr:twoCellAnchor>
  <xdr:twoCellAnchor>
    <xdr:from>
      <xdr:col>10</xdr:col>
      <xdr:colOff>124460</xdr:colOff>
      <xdr:row>4</xdr:row>
      <xdr:rowOff>83820</xdr:rowOff>
    </xdr:from>
    <xdr:to>
      <xdr:col>13</xdr:col>
      <xdr:colOff>474980</xdr:colOff>
      <xdr:row>8</xdr:row>
      <xdr:rowOff>83820</xdr:rowOff>
    </xdr:to>
    <xdr:sp macro="" textlink="">
      <xdr:nvSpPr>
        <xdr:cNvPr id="9" name="TextBox 8">
          <a:extLst>
            <a:ext uri="{FF2B5EF4-FFF2-40B4-BE49-F238E27FC236}">
              <a16:creationId xmlns:a16="http://schemas.microsoft.com/office/drawing/2014/main" id="{B82E48E0-4E56-4A6F-9E8A-4F251433339E}"/>
            </a:ext>
          </a:extLst>
        </xdr:cNvPr>
        <xdr:cNvSpPr txBox="1"/>
      </xdr:nvSpPr>
      <xdr:spPr>
        <a:xfrm>
          <a:off x="6220460" y="815340"/>
          <a:ext cx="2179320" cy="731520"/>
        </a:xfrm>
        <a:prstGeom prst="rect">
          <a:avLst/>
        </a:prstGeom>
        <a:solidFill>
          <a:schemeClr val="lt1"/>
        </a:solidFill>
        <a:ln w="9525" cmpd="sng">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dk1"/>
            </a:solidFill>
            <a:latin typeface="+mn-lt"/>
            <a:ea typeface="+mn-ea"/>
            <a:cs typeface="+mn-cs"/>
          </a:endParaRPr>
        </a:p>
      </xdr:txBody>
    </xdr:sp>
    <xdr:clientData/>
  </xdr:twoCellAnchor>
  <xdr:twoCellAnchor>
    <xdr:from>
      <xdr:col>6</xdr:col>
      <xdr:colOff>480060</xdr:colOff>
      <xdr:row>4</xdr:row>
      <xdr:rowOff>116840</xdr:rowOff>
    </xdr:from>
    <xdr:to>
      <xdr:col>9</xdr:col>
      <xdr:colOff>60960</xdr:colOff>
      <xdr:row>6</xdr:row>
      <xdr:rowOff>17780</xdr:rowOff>
    </xdr:to>
    <xdr:sp macro="" textlink="">
      <xdr:nvSpPr>
        <xdr:cNvPr id="10" name="TextBox 9">
          <a:extLst>
            <a:ext uri="{FF2B5EF4-FFF2-40B4-BE49-F238E27FC236}">
              <a16:creationId xmlns:a16="http://schemas.microsoft.com/office/drawing/2014/main" id="{793406CF-2C2A-DCEC-06EF-EB3F8D2343A8}"/>
            </a:ext>
          </a:extLst>
        </xdr:cNvPr>
        <xdr:cNvSpPr txBox="1"/>
      </xdr:nvSpPr>
      <xdr:spPr>
        <a:xfrm>
          <a:off x="4137660" y="848360"/>
          <a:ext cx="14097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dk1"/>
              </a:solidFill>
              <a:latin typeface="+mn-lt"/>
              <a:ea typeface="+mn-ea"/>
              <a:cs typeface="+mn-cs"/>
            </a:rPr>
            <a:t>TOTAL</a:t>
          </a:r>
          <a:r>
            <a:rPr lang="en-IN" sz="1100" b="1" baseline="0"/>
            <a:t> UNIT </a:t>
          </a:r>
          <a:endParaRPr lang="en-IN" sz="1100" b="1"/>
        </a:p>
      </xdr:txBody>
    </xdr:sp>
    <xdr:clientData/>
  </xdr:twoCellAnchor>
  <xdr:twoCellAnchor>
    <xdr:from>
      <xdr:col>6</xdr:col>
      <xdr:colOff>546100</xdr:colOff>
      <xdr:row>6</xdr:row>
      <xdr:rowOff>53340</xdr:rowOff>
    </xdr:from>
    <xdr:to>
      <xdr:col>9</xdr:col>
      <xdr:colOff>127000</xdr:colOff>
      <xdr:row>7</xdr:row>
      <xdr:rowOff>137160</xdr:rowOff>
    </xdr:to>
    <xdr:sp macro="" textlink="Report!E19">
      <xdr:nvSpPr>
        <xdr:cNvPr id="11" name="TextBox 10">
          <a:extLst>
            <a:ext uri="{FF2B5EF4-FFF2-40B4-BE49-F238E27FC236}">
              <a16:creationId xmlns:a16="http://schemas.microsoft.com/office/drawing/2014/main" id="{432AE7B5-D0D2-45BD-B462-1AA72A970ECB}"/>
            </a:ext>
          </a:extLst>
        </xdr:cNvPr>
        <xdr:cNvSpPr txBox="1"/>
      </xdr:nvSpPr>
      <xdr:spPr>
        <a:xfrm>
          <a:off x="4203700" y="1150620"/>
          <a:ext cx="1409700" cy="2667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05FE67-5C20-4424-BCBF-FCCCDD896511}" type="TxLink">
            <a:rPr lang="en-US" sz="1100" b="1" i="0" u="none" strike="noStrike">
              <a:solidFill>
                <a:srgbClr val="000000"/>
              </a:solidFill>
              <a:latin typeface="Calibri"/>
              <a:ea typeface="Calibri"/>
              <a:cs typeface="Calibri"/>
            </a:rPr>
            <a:pPr marL="0" indent="0" algn="ctr"/>
            <a:t>0</a:t>
          </a:fld>
          <a:endParaRPr lang="en-IN" sz="1100" b="1" i="0" u="none" strike="noStrike">
            <a:solidFill>
              <a:srgbClr val="000000"/>
            </a:solidFill>
            <a:latin typeface="Calibri"/>
            <a:ea typeface="Calibri"/>
            <a:cs typeface="Calibri"/>
          </a:endParaRPr>
        </a:p>
      </xdr:txBody>
    </xdr:sp>
    <xdr:clientData/>
  </xdr:twoCellAnchor>
  <xdr:twoCellAnchor>
    <xdr:from>
      <xdr:col>11</xdr:col>
      <xdr:colOff>12700</xdr:colOff>
      <xdr:row>4</xdr:row>
      <xdr:rowOff>146050</xdr:rowOff>
    </xdr:from>
    <xdr:to>
      <xdr:col>13</xdr:col>
      <xdr:colOff>35560</xdr:colOff>
      <xdr:row>5</xdr:row>
      <xdr:rowOff>165100</xdr:rowOff>
    </xdr:to>
    <xdr:sp macro="" textlink="">
      <xdr:nvSpPr>
        <xdr:cNvPr id="6" name="TextBox 5">
          <a:extLst>
            <a:ext uri="{FF2B5EF4-FFF2-40B4-BE49-F238E27FC236}">
              <a16:creationId xmlns:a16="http://schemas.microsoft.com/office/drawing/2014/main" id="{06F2BB65-C35B-E8B7-DF90-56B4669AADBB}"/>
            </a:ext>
          </a:extLst>
        </xdr:cNvPr>
        <xdr:cNvSpPr txBox="1"/>
      </xdr:nvSpPr>
      <xdr:spPr>
        <a:xfrm>
          <a:off x="6718300" y="877570"/>
          <a:ext cx="1242060" cy="2019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ORDERS</a:t>
          </a:r>
          <a:endParaRPr lang="en-IN" sz="1100" b="1"/>
        </a:p>
      </xdr:txBody>
    </xdr:sp>
    <xdr:clientData/>
  </xdr:twoCellAnchor>
  <xdr:twoCellAnchor>
    <xdr:from>
      <xdr:col>11</xdr:col>
      <xdr:colOff>10160</xdr:colOff>
      <xdr:row>6</xdr:row>
      <xdr:rowOff>81280</xdr:rowOff>
    </xdr:from>
    <xdr:to>
      <xdr:col>13</xdr:col>
      <xdr:colOff>55880</xdr:colOff>
      <xdr:row>7</xdr:row>
      <xdr:rowOff>157480</xdr:rowOff>
    </xdr:to>
    <xdr:sp macro="" textlink="Report!E20">
      <xdr:nvSpPr>
        <xdr:cNvPr id="12" name="TextBox 11">
          <a:extLst>
            <a:ext uri="{FF2B5EF4-FFF2-40B4-BE49-F238E27FC236}">
              <a16:creationId xmlns:a16="http://schemas.microsoft.com/office/drawing/2014/main" id="{1F6DB5D2-C194-4DB1-4F5B-BA7095CF8103}"/>
            </a:ext>
          </a:extLst>
        </xdr:cNvPr>
        <xdr:cNvSpPr txBox="1"/>
      </xdr:nvSpPr>
      <xdr:spPr>
        <a:xfrm>
          <a:off x="6715760" y="1178560"/>
          <a:ext cx="1264920" cy="25908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022D0CC-D6CB-465F-8656-1E1B430D43B9}" type="TxLink">
            <a:rPr lang="en-US" sz="1100" b="1" i="0" u="none" strike="noStrike">
              <a:solidFill>
                <a:srgbClr val="000000"/>
              </a:solidFill>
              <a:latin typeface="Calibri"/>
              <a:ea typeface="Calibri"/>
              <a:cs typeface="Calibri"/>
            </a:rPr>
            <a:pPr marL="0" indent="0" algn="ctr"/>
            <a:t>0</a:t>
          </a:fld>
          <a:endParaRPr lang="en-IN" sz="1100" b="1" i="0" u="none" strike="noStrike">
            <a:solidFill>
              <a:srgbClr val="000000"/>
            </a:solidFill>
            <a:latin typeface="Calibri"/>
            <a:ea typeface="Calibri"/>
            <a:cs typeface="Calibri"/>
          </a:endParaRPr>
        </a:p>
      </xdr:txBody>
    </xdr:sp>
    <xdr:clientData/>
  </xdr:twoCellAnchor>
  <xdr:twoCellAnchor>
    <xdr:from>
      <xdr:col>1</xdr:col>
      <xdr:colOff>571500</xdr:colOff>
      <xdr:row>9</xdr:row>
      <xdr:rowOff>99060</xdr:rowOff>
    </xdr:from>
    <xdr:to>
      <xdr:col>9</xdr:col>
      <xdr:colOff>381000</xdr:colOff>
      <xdr:row>21</xdr:row>
      <xdr:rowOff>91440</xdr:rowOff>
    </xdr:to>
    <xdr:graphicFrame macro="">
      <xdr:nvGraphicFramePr>
        <xdr:cNvPr id="13" name="Chart 12">
          <a:extLst>
            <a:ext uri="{FF2B5EF4-FFF2-40B4-BE49-F238E27FC236}">
              <a16:creationId xmlns:a16="http://schemas.microsoft.com/office/drawing/2014/main" id="{EE2E178D-1BE2-4B10-96DA-3D91EE148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594360</xdr:colOff>
      <xdr:row>9</xdr:row>
      <xdr:rowOff>76200</xdr:rowOff>
    </xdr:from>
    <xdr:to>
      <xdr:col>14</xdr:col>
      <xdr:colOff>45720</xdr:colOff>
      <xdr:row>21</xdr:row>
      <xdr:rowOff>76200</xdr:rowOff>
    </xdr:to>
    <xdr:graphicFrame macro="">
      <xdr:nvGraphicFramePr>
        <xdr:cNvPr id="18" name="Chart 17">
          <a:extLst>
            <a:ext uri="{FF2B5EF4-FFF2-40B4-BE49-F238E27FC236}">
              <a16:creationId xmlns:a16="http://schemas.microsoft.com/office/drawing/2014/main" id="{FD47FEBE-AE4E-418A-BDAE-EA2A01089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563880</xdr:colOff>
      <xdr:row>22</xdr:row>
      <xdr:rowOff>91440</xdr:rowOff>
    </xdr:from>
    <xdr:to>
      <xdr:col>8</xdr:col>
      <xdr:colOff>0</xdr:colOff>
      <xdr:row>34</xdr:row>
      <xdr:rowOff>83820</xdr:rowOff>
    </xdr:to>
    <xdr:graphicFrame macro="">
      <xdr:nvGraphicFramePr>
        <xdr:cNvPr id="19" name="Chart 18">
          <a:extLst>
            <a:ext uri="{FF2B5EF4-FFF2-40B4-BE49-F238E27FC236}">
              <a16:creationId xmlns:a16="http://schemas.microsoft.com/office/drawing/2014/main" id="{579A00E8-37D9-445B-A072-5687A902E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137160</xdr:colOff>
      <xdr:row>22</xdr:row>
      <xdr:rowOff>114300</xdr:rowOff>
    </xdr:from>
    <xdr:to>
      <xdr:col>14</xdr:col>
      <xdr:colOff>114300</xdr:colOff>
      <xdr:row>34</xdr:row>
      <xdr:rowOff>121920</xdr:rowOff>
    </xdr:to>
    <xdr:graphicFrame macro="">
      <xdr:nvGraphicFramePr>
        <xdr:cNvPr id="20" name="Chart 19">
          <a:extLst>
            <a:ext uri="{FF2B5EF4-FFF2-40B4-BE49-F238E27FC236}">
              <a16:creationId xmlns:a16="http://schemas.microsoft.com/office/drawing/2014/main" id="{99D153AA-F9E9-4A6D-8E25-BADCC94C9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284480</xdr:colOff>
      <xdr:row>24</xdr:row>
      <xdr:rowOff>60960</xdr:rowOff>
    </xdr:from>
    <xdr:to>
      <xdr:col>18</xdr:col>
      <xdr:colOff>162560</xdr:colOff>
      <xdr:row>34</xdr:row>
      <xdr:rowOff>91439</xdr:rowOff>
    </xdr:to>
    <mc:AlternateContent xmlns:mc="http://schemas.openxmlformats.org/markup-compatibility/2006" xmlns:a14="http://schemas.microsoft.com/office/drawing/2010/main">
      <mc:Choice Requires="a14">
        <xdr:graphicFrame macro="">
          <xdr:nvGraphicFramePr>
            <xdr:cNvPr id="21" name="Date">
              <a:extLst>
                <a:ext uri="{FF2B5EF4-FFF2-40B4-BE49-F238E27FC236}">
                  <a16:creationId xmlns:a16="http://schemas.microsoft.com/office/drawing/2014/main" id="{3CF80FD3-C325-2137-B4B0-23054C95B80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818880" y="4450080"/>
              <a:ext cx="231648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264160</xdr:colOff>
      <xdr:row>14</xdr:row>
      <xdr:rowOff>43181</xdr:rowOff>
    </xdr:from>
    <xdr:to>
      <xdr:col>18</xdr:col>
      <xdr:colOff>152400</xdr:colOff>
      <xdr:row>23</xdr:row>
      <xdr:rowOff>91440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2E5C5007-8E35-5E35-6288-218F96D2CE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98560" y="2603501"/>
              <a:ext cx="2326640" cy="1694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233680</xdr:colOff>
      <xdr:row>4</xdr:row>
      <xdr:rowOff>45721</xdr:rowOff>
    </xdr:from>
    <xdr:to>
      <xdr:col>18</xdr:col>
      <xdr:colOff>162560</xdr:colOff>
      <xdr:row>13</xdr:row>
      <xdr:rowOff>152400</xdr:rowOff>
    </xdr:to>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29DE740D-F579-A0D4-2D21-B64FF6F7C24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68080" y="777241"/>
              <a:ext cx="2367280"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 sud" refreshedDate="46040.961894907407" createdVersion="8" refreshedVersion="8" minRefreshableVersion="3" recordCount="10" xr:uid="{68560965-21C8-4D72-8AB6-4C0602C859EA}">
  <cacheSource type="worksheet">
    <worksheetSource name="Table1"/>
  </cacheSource>
  <cacheFields count="9">
    <cacheField name="Date" numFmtId="14">
      <sharedItems containsSemiMixedTypes="0" containsNonDate="0" containsDate="1" containsString="0" minDate="2025-01-01T00:00:00" maxDate="2025-02-02T00:00:00" count="7">
        <d v="2025-01-01T00:00:00"/>
        <d v="2025-01-05T00:00:00"/>
        <d v="2025-01-13T00:00:00"/>
        <d v="2025-01-17T00:00:00"/>
        <d v="2025-01-19T00:00:00"/>
        <d v="2025-01-24T00:00:00"/>
        <d v="2025-02-01T00:00:00"/>
      </sharedItems>
      <fieldGroup par="8"/>
    </cacheField>
    <cacheField name="Region" numFmtId="0">
      <sharedItems count="5">
        <s v="East"/>
        <s v="South"/>
        <s v="Central"/>
        <s v="North"/>
        <s v="West"/>
      </sharedItems>
    </cacheField>
    <cacheField name="Product" numFmtId="0">
      <sharedItems count="6">
        <s v="Tablet Air"/>
        <s v="USB-C Hub"/>
        <s v="Noise-Canceling Headphones"/>
        <s v="Smart Watch"/>
        <s v="Laser Printer"/>
        <s v="Wireless Mouse"/>
      </sharedItems>
    </cacheField>
    <cacheField name="Salesperson" numFmtId="0">
      <sharedItems count="7">
        <s v="Grace"/>
        <s v="Bob"/>
        <s v="Heidi"/>
        <s v="Eve"/>
        <s v="David"/>
        <s v="Alice"/>
        <s v="Frank"/>
      </sharedItems>
    </cacheField>
    <cacheField name="Quantity" numFmtId="0">
      <sharedItems containsSemiMixedTypes="0" containsString="0" containsNumber="1" containsInteger="1" minValue="3" maxValue="11"/>
    </cacheField>
    <cacheField name="Unit Price" numFmtId="0">
      <sharedItems containsSemiMixedTypes="0" containsString="0" containsNumber="1" containsInteger="1" minValue="25" maxValue="499"/>
    </cacheField>
    <cacheField name="Sales Price" numFmtId="0">
      <sharedItems containsSemiMixedTypes="0" containsString="0" containsNumber="1" containsInteger="1" minValue="125" maxValue="3992"/>
    </cacheField>
    <cacheField name="Days (Date)" numFmtId="0" databaseField="0">
      <fieldGroup base="0">
        <rangePr groupBy="days" startDate="2025-01-01T00:00:00" endDate="2025-0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025"/>
        </groupItems>
      </fieldGroup>
    </cacheField>
    <cacheField name="Months (Date)" numFmtId="0" databaseField="0">
      <fieldGroup base="0">
        <rangePr groupBy="months" startDate="2025-01-01T00:00:00" endDate="2025-02-02T00:00:00"/>
        <groupItems count="14">
          <s v="&lt;01-01-2025"/>
          <s v="Jan"/>
          <s v="Feb"/>
          <s v="Mar"/>
          <s v="Apr"/>
          <s v="May"/>
          <s v="Jun"/>
          <s v="Jul"/>
          <s v="Aug"/>
          <s v="Sep"/>
          <s v="Oct"/>
          <s v="Nov"/>
          <s v="Dec"/>
          <s v="&gt;02-02-2025"/>
        </groupItems>
      </fieldGroup>
    </cacheField>
  </cacheFields>
  <extLst>
    <ext xmlns:x14="http://schemas.microsoft.com/office/spreadsheetml/2009/9/main" uri="{725AE2AE-9491-48be-B2B4-4EB974FC3084}">
      <x14:pivotCacheDefinition pivotCacheId="910439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8"/>
    <n v="499"/>
    <n v="3992"/>
  </r>
  <r>
    <x v="0"/>
    <x v="1"/>
    <x v="1"/>
    <x v="1"/>
    <n v="6"/>
    <n v="45"/>
    <n v="270"/>
  </r>
  <r>
    <x v="1"/>
    <x v="1"/>
    <x v="2"/>
    <x v="0"/>
    <n v="6"/>
    <n v="199"/>
    <n v="1194"/>
  </r>
  <r>
    <x v="1"/>
    <x v="2"/>
    <x v="3"/>
    <x v="2"/>
    <n v="5"/>
    <n v="180"/>
    <n v="900"/>
  </r>
  <r>
    <x v="2"/>
    <x v="2"/>
    <x v="4"/>
    <x v="0"/>
    <n v="9"/>
    <n v="250"/>
    <n v="2250"/>
  </r>
  <r>
    <x v="3"/>
    <x v="1"/>
    <x v="3"/>
    <x v="3"/>
    <n v="11"/>
    <n v="180"/>
    <n v="1980"/>
  </r>
  <r>
    <x v="4"/>
    <x v="0"/>
    <x v="0"/>
    <x v="2"/>
    <n v="3"/>
    <n v="499"/>
    <n v="1497"/>
  </r>
  <r>
    <x v="5"/>
    <x v="3"/>
    <x v="4"/>
    <x v="4"/>
    <n v="7"/>
    <n v="250"/>
    <n v="1750"/>
  </r>
  <r>
    <x v="6"/>
    <x v="4"/>
    <x v="5"/>
    <x v="5"/>
    <n v="5"/>
    <n v="25"/>
    <n v="125"/>
  </r>
  <r>
    <x v="6"/>
    <x v="1"/>
    <x v="5"/>
    <x v="6"/>
    <n v="10"/>
    <n v="25"/>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D45D6B-36BC-46C4-8C7A-DAFF69A02DE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2" firstHeaderRow="1" firstDataRow="1" firstDataCol="1"/>
  <pivotFields count="9">
    <pivotField axis="axisRow" numFmtId="14" showAll="0">
      <items count="8">
        <item h="1" x="0"/>
        <item x="1"/>
        <item h="1" x="2"/>
        <item h="1" x="3"/>
        <item h="1" x="4"/>
        <item h="1" x="5"/>
        <item h="1" x="6"/>
        <item t="default"/>
      </items>
    </pivotField>
    <pivotField showAll="0">
      <items count="6">
        <item x="2"/>
        <item h="1" x="0"/>
        <item h="1" x="3"/>
        <item h="1" x="1"/>
        <item h="1" x="4"/>
        <item t="default"/>
      </items>
    </pivotField>
    <pivotField showAll="0">
      <items count="7">
        <item h="1" x="4"/>
        <item h="1" x="2"/>
        <item h="1" x="3"/>
        <item h="1" x="0"/>
        <item x="1"/>
        <item h="1" x="5"/>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1">
    <i t="grand">
      <x/>
    </i>
  </rowItems>
  <colItems count="1">
    <i/>
  </colItems>
  <dataFields count="1">
    <dataField name="Sum of Sales Price" fld="6" baseField="0" baseItem="0"/>
  </dataField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8" count="1" selected="0">
            <x v="1"/>
          </reference>
        </references>
      </pivotArea>
    </chartFormat>
    <chartFormat chart="7" format="2">
      <pivotArea type="data" outline="0" fieldPosition="0">
        <references count="2">
          <reference field="4294967294" count="1" selected="0">
            <x v="0"/>
          </reference>
          <reference field="8"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1"/>
          </reference>
        </references>
      </pivotArea>
    </chartFormat>
    <chartFormat chart="11"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CC2D30-A9B0-4F41-8FA7-FC4F45906A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B20" firstHeaderRow="1" firstDataRow="1" firstDataCol="1"/>
  <pivotFields count="9">
    <pivotField numFmtId="14" showAll="0">
      <items count="8">
        <item h="1" x="0"/>
        <item x="1"/>
        <item h="1" x="2"/>
        <item h="1" x="3"/>
        <item h="1" x="4"/>
        <item h="1" x="5"/>
        <item h="1" x="6"/>
        <item t="default"/>
      </items>
    </pivotField>
    <pivotField showAll="0">
      <items count="6">
        <item x="2"/>
        <item h="1" x="0"/>
        <item h="1" x="3"/>
        <item h="1" x="1"/>
        <item h="1" x="4"/>
        <item t="default"/>
      </items>
    </pivotField>
    <pivotField showAll="0">
      <items count="7">
        <item h="1" x="4"/>
        <item h="1" x="2"/>
        <item h="1" x="3"/>
        <item h="1" x="0"/>
        <item x="1"/>
        <item h="1" x="5"/>
        <item t="default"/>
      </items>
    </pivotField>
    <pivotField axis="axisRow" showAll="0">
      <items count="8">
        <item x="5"/>
        <item x="1"/>
        <item x="4"/>
        <item x="3"/>
        <item x="6"/>
        <item x="0"/>
        <item x="2"/>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
    <i t="grand">
      <x/>
    </i>
  </rowItems>
  <colItems count="1">
    <i/>
  </colItems>
  <dataFields count="1">
    <dataField name="Sum of Sales Price" fld="6" baseField="0" baseItem="0"/>
  </dataFields>
  <chartFormats count="4">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8EB43-FDB6-40FB-817E-B39770CE0A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1" firstHeaderRow="1" firstDataRow="1" firstDataCol="1"/>
  <pivotFields count="9">
    <pivotField numFmtId="14" showAll="0">
      <items count="8">
        <item h="1" x="0"/>
        <item x="1"/>
        <item h="1" x="2"/>
        <item h="1" x="3"/>
        <item h="1" x="4"/>
        <item h="1" x="5"/>
        <item h="1" x="6"/>
        <item t="default"/>
      </items>
    </pivotField>
    <pivotField showAll="0">
      <items count="6">
        <item x="2"/>
        <item h="1" x="0"/>
        <item h="1" x="3"/>
        <item h="1" x="1"/>
        <item h="1" x="4"/>
        <item t="default"/>
      </items>
    </pivotField>
    <pivotField axis="axisRow" showAll="0">
      <items count="7">
        <item h="1" x="4"/>
        <item h="1" x="2"/>
        <item h="1" x="3"/>
        <item h="1" x="0"/>
        <item x="1"/>
        <item h="1"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
    <i t="grand">
      <x/>
    </i>
  </rowItems>
  <colItems count="1">
    <i/>
  </colItems>
  <dataFields count="1">
    <dataField name="Sum of Sales Pric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B20DFE-74AE-4937-87FC-D54D743644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24:F25" firstHeaderRow="1" firstDataRow="1" firstDataCol="1"/>
  <pivotFields count="9">
    <pivotField numFmtId="14" showAll="0">
      <items count="8">
        <item h="1" x="0"/>
        <item x="1"/>
        <item h="1" x="2"/>
        <item h="1" x="3"/>
        <item h="1" x="4"/>
        <item h="1" x="5"/>
        <item h="1" x="6"/>
        <item t="default"/>
      </items>
    </pivotField>
    <pivotField axis="axisRow" showAll="0">
      <items count="6">
        <item x="2"/>
        <item h="1" x="0"/>
        <item h="1" x="3"/>
        <item h="1" x="1"/>
        <item h="1" x="4"/>
        <item t="default"/>
      </items>
    </pivotField>
    <pivotField showAll="0">
      <items count="7">
        <item h="1" x="4"/>
        <item h="1" x="2"/>
        <item h="1" x="3"/>
        <item h="1" x="0"/>
        <item x="1"/>
        <item h="1" x="5"/>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5820D-AEAF-4224-82B2-15A63922F7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2" firstHeaderRow="1" firstDataRow="1" firstDataCol="1"/>
  <pivotFields count="9">
    <pivotField numFmtId="14" showAll="0">
      <items count="8">
        <item h="1" x="0"/>
        <item x="1"/>
        <item h="1" x="2"/>
        <item h="1" x="3"/>
        <item h="1" x="4"/>
        <item h="1" x="5"/>
        <item h="1" x="6"/>
        <item t="default"/>
      </items>
    </pivotField>
    <pivotField axis="axisRow" showAll="0">
      <items count="6">
        <item x="2"/>
        <item h="1" x="0"/>
        <item h="1" x="3"/>
        <item h="1" x="1"/>
        <item h="1" x="4"/>
        <item t="default"/>
      </items>
    </pivotField>
    <pivotField showAll="0">
      <items count="7">
        <item h="1" x="4"/>
        <item h="1" x="2"/>
        <item h="1" x="3"/>
        <item h="1" x="0"/>
        <item x="1"/>
        <item h="1"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
    <i t="grand">
      <x/>
    </i>
  </rowItems>
  <colItems count="1">
    <i/>
  </colItems>
  <dataFields count="1">
    <dataField name="Sum of Sales Price" fld="6"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7" format="6">
      <pivotArea type="data" outline="0" fieldPosition="0">
        <references count="2">
          <reference field="4294967294" count="1" selected="0">
            <x v="0"/>
          </reference>
          <reference field="1" count="1" selected="0">
            <x v="4"/>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2">
          <reference field="4294967294" count="1" selected="0">
            <x v="0"/>
          </reference>
          <reference field="1" count="1" selected="0">
            <x v="2"/>
          </reference>
        </references>
      </pivotArea>
    </chartFormat>
    <chartFormat chart="12" format="11">
      <pivotArea type="data" outline="0" fieldPosition="0">
        <references count="2">
          <reference field="4294967294" count="1" selected="0">
            <x v="0"/>
          </reference>
          <reference field="1" count="1" selected="0">
            <x v="3"/>
          </reference>
        </references>
      </pivotArea>
    </chartFormat>
    <chartFormat chart="1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2873EF3-FDBA-4561-8B6C-8E11ADA56C3C}" sourceName="Date">
  <pivotTables>
    <pivotTable tabId="2" name="PivotTable3"/>
    <pivotTable tabId="2" name="PivotTable1"/>
    <pivotTable tabId="2" name="PivotTable2"/>
    <pivotTable tabId="2" name="PivotTable4"/>
    <pivotTable tabId="2" name="PivotTable5"/>
  </pivotTables>
  <data>
    <tabular pivotCacheId="910439988">
      <items count="7">
        <i x="0" nd="1"/>
        <i x="1" s="1" nd="1"/>
        <i x="2" nd="1"/>
        <i x="3" nd="1"/>
        <i x="4" nd="1"/>
        <i x="5"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204630-BEBA-4FDF-82A5-FAAA25E05181}" sourceName="Region">
  <pivotTables>
    <pivotTable tabId="2" name="PivotTable3"/>
    <pivotTable tabId="2" name="PivotTable1"/>
    <pivotTable tabId="2" name="PivotTable2"/>
    <pivotTable tabId="2" name="PivotTable4"/>
    <pivotTable tabId="2" name="PivotTable5"/>
  </pivotTables>
  <data>
    <tabular pivotCacheId="910439988">
      <items count="5">
        <i x="2" s="1" nd="1"/>
        <i x="0" nd="1"/>
        <i x="3" nd="1"/>
        <i x="1"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ED7B5F-0FB7-45B2-89D8-3A2FE2B45B0C}" sourceName="Product">
  <pivotTables>
    <pivotTable tabId="2" name="PivotTable3"/>
    <pivotTable tabId="2" name="PivotTable1"/>
    <pivotTable tabId="2" name="PivotTable2"/>
    <pivotTable tabId="2" name="PivotTable4"/>
    <pivotTable tabId="2" name="PivotTable5"/>
  </pivotTables>
  <data>
    <tabular pivotCacheId="910439988">
      <items count="6">
        <i x="3"/>
        <i x="4" nd="1"/>
        <i x="2" nd="1"/>
        <i x="0" nd="1"/>
        <i x="1" s="1"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DDBDD2A-5405-4114-9247-9C25F9506938}" cache="Slicer_Date" caption="Date" style="SlicerStyleDark2" rowHeight="234950"/>
  <slicer name="Region" xr10:uid="{7A9ADCB2-E82F-49D9-A22F-FBFE422FB49A}" cache="Slicer_Region" caption="Region" style="SlicerStyleDark4" rowHeight="234950"/>
  <slicer name="Product" xr10:uid="{C2B36A19-1542-4C3C-AF20-85B4665D755E}" cache="Slicer_Product" caption="Product"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3D31B-F3C5-43C7-892C-F3F5AAACD347}" name="Table1" displayName="Table1" ref="A1:G11" totalsRowShown="0" headerRowDxfId="11" dataDxfId="9" headerRowBorderDxfId="10" tableBorderDxfId="8" totalsRowBorderDxfId="7">
  <autoFilter ref="A1:G11" xr:uid="{6DA3D31B-F3C5-43C7-892C-F3F5AAACD347}"/>
  <tableColumns count="7">
    <tableColumn id="1" xr3:uid="{15420425-BCCD-4C06-A196-9ABC6D2D6750}" name="Date" dataDxfId="6"/>
    <tableColumn id="2" xr3:uid="{912BF7D9-9CF0-4CD9-ACBC-7A7974FB7D72}" name="Region" dataDxfId="5"/>
    <tableColumn id="3" xr3:uid="{E5A9ECBB-D4B9-43D4-80E1-96C9C4E52877}" name="Product" dataDxfId="4"/>
    <tableColumn id="4" xr3:uid="{D0A6CD59-BEEF-4362-B280-AB7DE9B7D191}" name="Salesperson" dataDxfId="3"/>
    <tableColumn id="5" xr3:uid="{367C26E0-32A5-4A68-9BC3-676068356C23}" name="Quantity" dataDxfId="2"/>
    <tableColumn id="6" xr3:uid="{3A1B32C4-7010-41FC-ADE0-347519E6BCDB}" name="Unit Price" dataDxfId="1"/>
    <tableColumn id="7" xr3:uid="{E9B3393B-3E92-4117-A62B-5C2D1F6E829B}" name="Total 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05082-2A4B-484D-9E95-A99878ED85FB}">
  <dimension ref="A1:F25"/>
  <sheetViews>
    <sheetView workbookViewId="0">
      <selection activeCell="J3" sqref="J3"/>
    </sheetView>
  </sheetViews>
  <sheetFormatPr defaultRowHeight="14.4" x14ac:dyDescent="0.3"/>
  <cols>
    <col min="1" max="1" width="12.5546875" bestFit="1" customWidth="1"/>
    <col min="2" max="2" width="16.33203125" bestFit="1" customWidth="1"/>
    <col min="4" max="4" width="12.5546875" bestFit="1" customWidth="1"/>
    <col min="5" max="5" width="16.33203125" bestFit="1" customWidth="1"/>
    <col min="6" max="6" width="14.88671875" bestFit="1" customWidth="1"/>
  </cols>
  <sheetData>
    <row r="1" spans="1:5" x14ac:dyDescent="0.3">
      <c r="A1" s="11" t="s">
        <v>24</v>
      </c>
      <c r="B1" t="s">
        <v>27</v>
      </c>
      <c r="D1" s="11" t="s">
        <v>24</v>
      </c>
      <c r="E1" t="s">
        <v>27</v>
      </c>
    </row>
    <row r="2" spans="1:5" x14ac:dyDescent="0.3">
      <c r="A2" s="12" t="s">
        <v>25</v>
      </c>
      <c r="B2" s="13" t="e">
        <v>#DIV/0!</v>
      </c>
      <c r="D2" s="12" t="s">
        <v>25</v>
      </c>
      <c r="E2" s="14"/>
    </row>
    <row r="10" spans="1:5" x14ac:dyDescent="0.3">
      <c r="A10" s="11" t="s">
        <v>24</v>
      </c>
      <c r="B10" t="s">
        <v>27</v>
      </c>
    </row>
    <row r="11" spans="1:5" x14ac:dyDescent="0.3">
      <c r="A11" s="12" t="s">
        <v>25</v>
      </c>
      <c r="B11" s="14"/>
    </row>
    <row r="18" spans="1:6" x14ac:dyDescent="0.3">
      <c r="D18" t="s">
        <v>28</v>
      </c>
      <c r="E18">
        <f>GETPIVOTDATA("Sales Price",$A$10)</f>
        <v>0</v>
      </c>
    </row>
    <row r="19" spans="1:6" x14ac:dyDescent="0.3">
      <c r="A19" s="11" t="s">
        <v>24</v>
      </c>
      <c r="B19" t="s">
        <v>27</v>
      </c>
      <c r="D19" t="s">
        <v>29</v>
      </c>
      <c r="E19">
        <f>GETPIVOTDATA("Sales Price",$D$1)</f>
        <v>0</v>
      </c>
    </row>
    <row r="20" spans="1:6" x14ac:dyDescent="0.3">
      <c r="A20" s="12" t="s">
        <v>25</v>
      </c>
      <c r="B20" s="14"/>
      <c r="D20" t="s">
        <v>30</v>
      </c>
      <c r="E20">
        <f>GETPIVOTDATA("Quantity",$E$24)</f>
        <v>0</v>
      </c>
    </row>
    <row r="24" spans="1:6" x14ac:dyDescent="0.3">
      <c r="E24" s="11" t="s">
        <v>24</v>
      </c>
      <c r="F24" t="s">
        <v>31</v>
      </c>
    </row>
    <row r="25" spans="1:6" x14ac:dyDescent="0.3">
      <c r="E25" s="12" t="s">
        <v>25</v>
      </c>
      <c r="F25" s="14"/>
    </row>
  </sheetData>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3707F-700D-402C-AB10-6A8DF4115E14}">
  <dimension ref="A1"/>
  <sheetViews>
    <sheetView tabSelected="1" zoomScale="75" workbookViewId="0">
      <selection activeCell="W10" sqref="W1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F9" sqref="F9"/>
    </sheetView>
  </sheetViews>
  <sheetFormatPr defaultRowHeight="14.4" x14ac:dyDescent="0.3"/>
  <cols>
    <col min="1" max="1" width="12.5546875" bestFit="1" customWidth="1"/>
    <col min="2" max="2" width="11.109375" customWidth="1"/>
    <col min="3" max="3" width="11.77734375" customWidth="1"/>
    <col min="4" max="4" width="16.33203125" customWidth="1"/>
    <col min="5" max="5" width="12.44140625" customWidth="1"/>
    <col min="6" max="6" width="13.6640625" customWidth="1"/>
    <col min="7" max="7" width="15.109375" customWidth="1"/>
  </cols>
  <sheetData>
    <row r="1" spans="1:7" ht="15" thickBot="1" x14ac:dyDescent="0.35">
      <c r="A1" s="5" t="s">
        <v>0</v>
      </c>
      <c r="B1" s="6" t="s">
        <v>1</v>
      </c>
      <c r="C1" s="6" t="s">
        <v>2</v>
      </c>
      <c r="D1" s="6" t="s">
        <v>3</v>
      </c>
      <c r="E1" s="6" t="s">
        <v>4</v>
      </c>
      <c r="F1" s="6" t="s">
        <v>5</v>
      </c>
      <c r="G1" s="7" t="s">
        <v>26</v>
      </c>
    </row>
    <row r="2" spans="1:7" ht="15" thickBot="1" x14ac:dyDescent="0.35">
      <c r="A2" s="2">
        <v>45658</v>
      </c>
      <c r="B2" s="1" t="s">
        <v>6</v>
      </c>
      <c r="C2" s="1" t="s">
        <v>7</v>
      </c>
      <c r="D2" s="1" t="s">
        <v>8</v>
      </c>
      <c r="E2" s="1">
        <v>8</v>
      </c>
      <c r="F2" s="1">
        <v>499</v>
      </c>
      <c r="G2" s="3">
        <v>3992</v>
      </c>
    </row>
    <row r="3" spans="1:7" ht="28.2" thickBot="1" x14ac:dyDescent="0.35">
      <c r="A3" s="2">
        <v>45658</v>
      </c>
      <c r="B3" s="1" t="s">
        <v>9</v>
      </c>
      <c r="C3" s="1" t="s">
        <v>10</v>
      </c>
      <c r="D3" s="1" t="s">
        <v>11</v>
      </c>
      <c r="E3" s="1">
        <v>6</v>
      </c>
      <c r="F3" s="1">
        <v>45</v>
      </c>
      <c r="G3" s="4">
        <v>270</v>
      </c>
    </row>
    <row r="4" spans="1:7" ht="55.8" thickBot="1" x14ac:dyDescent="0.35">
      <c r="A4" s="2">
        <v>45662</v>
      </c>
      <c r="B4" s="1" t="s">
        <v>9</v>
      </c>
      <c r="C4" s="1" t="s">
        <v>12</v>
      </c>
      <c r="D4" s="1" t="s">
        <v>8</v>
      </c>
      <c r="E4" s="1">
        <v>6</v>
      </c>
      <c r="F4" s="1">
        <v>199</v>
      </c>
      <c r="G4" s="3">
        <v>1194</v>
      </c>
    </row>
    <row r="5" spans="1:7" ht="28.2" thickBot="1" x14ac:dyDescent="0.35">
      <c r="A5" s="2">
        <v>45662</v>
      </c>
      <c r="B5" s="1" t="s">
        <v>13</v>
      </c>
      <c r="C5" s="1" t="s">
        <v>14</v>
      </c>
      <c r="D5" s="1" t="s">
        <v>15</v>
      </c>
      <c r="E5" s="1">
        <v>5</v>
      </c>
      <c r="F5" s="1">
        <v>180</v>
      </c>
      <c r="G5" s="4">
        <v>900</v>
      </c>
    </row>
    <row r="6" spans="1:7" ht="28.2" thickBot="1" x14ac:dyDescent="0.35">
      <c r="A6" s="2">
        <v>45670</v>
      </c>
      <c r="B6" s="1" t="s">
        <v>13</v>
      </c>
      <c r="C6" s="1" t="s">
        <v>16</v>
      </c>
      <c r="D6" s="1" t="s">
        <v>8</v>
      </c>
      <c r="E6" s="1">
        <v>9</v>
      </c>
      <c r="F6" s="1">
        <v>250</v>
      </c>
      <c r="G6" s="3">
        <v>2250</v>
      </c>
    </row>
    <row r="7" spans="1:7" ht="28.2" thickBot="1" x14ac:dyDescent="0.35">
      <c r="A7" s="2">
        <v>45674</v>
      </c>
      <c r="B7" s="1" t="s">
        <v>9</v>
      </c>
      <c r="C7" s="1" t="s">
        <v>14</v>
      </c>
      <c r="D7" s="1" t="s">
        <v>17</v>
      </c>
      <c r="E7" s="1">
        <v>11</v>
      </c>
      <c r="F7" s="1">
        <v>180</v>
      </c>
      <c r="G7" s="3">
        <v>1980</v>
      </c>
    </row>
    <row r="8" spans="1:7" ht="15" thickBot="1" x14ac:dyDescent="0.35">
      <c r="A8" s="2">
        <v>45676</v>
      </c>
      <c r="B8" s="1" t="s">
        <v>6</v>
      </c>
      <c r="C8" s="1" t="s">
        <v>7</v>
      </c>
      <c r="D8" s="1" t="s">
        <v>15</v>
      </c>
      <c r="E8" s="1">
        <v>3</v>
      </c>
      <c r="F8" s="1">
        <v>499</v>
      </c>
      <c r="G8" s="3">
        <v>1497</v>
      </c>
    </row>
    <row r="9" spans="1:7" ht="28.2" thickBot="1" x14ac:dyDescent="0.35">
      <c r="A9" s="2">
        <v>45681</v>
      </c>
      <c r="B9" s="1" t="s">
        <v>18</v>
      </c>
      <c r="C9" s="1" t="s">
        <v>16</v>
      </c>
      <c r="D9" s="1" t="s">
        <v>19</v>
      </c>
      <c r="E9" s="1">
        <v>7</v>
      </c>
      <c r="F9" s="1">
        <v>250</v>
      </c>
      <c r="G9" s="3">
        <v>1750</v>
      </c>
    </row>
    <row r="10" spans="1:7" ht="28.2" thickBot="1" x14ac:dyDescent="0.35">
      <c r="A10" s="2">
        <v>45689</v>
      </c>
      <c r="B10" s="1" t="s">
        <v>20</v>
      </c>
      <c r="C10" s="1" t="s">
        <v>21</v>
      </c>
      <c r="D10" s="1" t="s">
        <v>22</v>
      </c>
      <c r="E10" s="1">
        <v>5</v>
      </c>
      <c r="F10" s="1">
        <v>25</v>
      </c>
      <c r="G10" s="4">
        <v>125</v>
      </c>
    </row>
    <row r="11" spans="1:7" ht="27.6" x14ac:dyDescent="0.3">
      <c r="A11" s="8">
        <v>45689</v>
      </c>
      <c r="B11" s="9" t="s">
        <v>9</v>
      </c>
      <c r="C11" s="9" t="s">
        <v>21</v>
      </c>
      <c r="D11" s="9" t="s">
        <v>23</v>
      </c>
      <c r="E11" s="9">
        <v>10</v>
      </c>
      <c r="F11" s="9">
        <v>25</v>
      </c>
      <c r="G11" s="10">
        <v>250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sud</dc:creator>
  <cp:lastModifiedBy>pratik sud</cp:lastModifiedBy>
  <cp:lastPrinted>2026-01-20T16:09:35Z</cp:lastPrinted>
  <dcterms:created xsi:type="dcterms:W3CDTF">2025-09-24T17:24:02Z</dcterms:created>
  <dcterms:modified xsi:type="dcterms:W3CDTF">2026-02-07T10:56:08Z</dcterms:modified>
</cp:coreProperties>
</file>